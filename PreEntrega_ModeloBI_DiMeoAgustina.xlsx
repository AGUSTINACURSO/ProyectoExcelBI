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meo\Downloads\"/>
    </mc:Choice>
  </mc:AlternateContent>
  <xr:revisionPtr revIDLastSave="0" documentId="13_ncr:1_{DBA5EAEF-B6B4-4C65-B87E-8065BE23446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Ventas" sheetId="1" r:id="rId1"/>
    <sheet name="Clientes" sheetId="2" r:id="rId2"/>
    <sheet name="Productos" sheetId="3" r:id="rId3"/>
    <sheet name="Estadistica" sheetId="4" r:id="rId4"/>
    <sheet name="Resumen del escenario" sheetId="8" r:id="rId5"/>
    <sheet name="Escenarios" sheetId="5" r:id="rId6"/>
    <sheet name="Dashboard Final" sheetId="9" r:id="rId7"/>
    <sheet name="Validacion_IA" sheetId="10" r:id="rId8"/>
  </sheets>
  <definedNames>
    <definedName name="SegmentaciónDeDatos_Fecha">#N/A</definedName>
    <definedName name="SegmentaciónDeDatos_ID_Cliente">#N/A</definedName>
    <definedName name="SegmentaciónDeDatos_ID_Producto">#N/A</definedName>
  </definedNames>
  <calcPr calcId="191029"/>
  <pivotCaches>
    <pivotCache cacheId="3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blVentas_9be66ab7-85c4-4018-8ffe-dbd17dec2d20" name="tblVentas" connection="Consulta - tblVentas"/>
          <x15:modelTable id="tblClientes_095d6bab-feea-4506-b5d2-78ff89376407" name="tblClientes" connection="Consulta - tblClientes"/>
          <x15:modelTable id="tblProductos_4bf803e8-1e48-4651-8f42-c0be84c45e6c" name="tblProductos" connection="Consulta - tblProductos"/>
        </x15:modelTables>
        <x15:modelRelationships>
          <x15:modelRelationship fromTable="tblVentas" fromColumn="ID_Cliente" toTable="tblClientes" toColumn="ID_Cliente"/>
          <x15:modelRelationship fromTable="tblVentas" fromColumn="ID_Producto" toTable="tblProductos" toColumn="ID_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82900-7F3C-48A2-944E-A17E7CCE6F47}" name="Consulta - tblClientes" description="Conexión a la consulta 'tblClientes' en el libro." type="100" refreshedVersion="8" minRefreshableVersion="5">
    <extLst>
      <ext xmlns:x15="http://schemas.microsoft.com/office/spreadsheetml/2010/11/main" uri="{DE250136-89BD-433C-8126-D09CA5730AF9}">
        <x15:connection id="8861cc33-f754-4eb1-b39b-5e517c34111b"/>
      </ext>
    </extLst>
  </connection>
  <connection id="2" xr16:uid="{12151E2E-4FFB-4DB6-8DDD-A18749B884E9}" name="Consulta - tblProductos" description="Conexión a la consulta 'tblProductos' en el libro." type="100" refreshedVersion="8" minRefreshableVersion="5">
    <extLst>
      <ext xmlns:x15="http://schemas.microsoft.com/office/spreadsheetml/2010/11/main" uri="{DE250136-89BD-433C-8126-D09CA5730AF9}">
        <x15:connection id="3d422cd8-3c69-4973-b164-b4e8740443c6"/>
      </ext>
    </extLst>
  </connection>
  <connection id="3" xr16:uid="{7B8819C9-AFDE-4438-BC18-DBCFE6F53DA2}" name="Consulta - tblVentas" description="Conexión a la consulta 'tblVentas' en el libro." type="100" refreshedVersion="8" minRefreshableVersion="5">
    <extLst>
      <ext xmlns:x15="http://schemas.microsoft.com/office/spreadsheetml/2010/11/main" uri="{DE250136-89BD-433C-8126-D09CA5730AF9}">
        <x15:connection id="debdcc6f-b126-4090-adfc-4980f0d95351"/>
      </ext>
    </extLst>
  </connection>
  <connection id="4" xr16:uid="{551B11B3-76E4-4F5E-92DF-6652FA6BFCC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<sst xmlns="http://schemas.openxmlformats.org/spreadsheetml/2006/main" count="75" uniqueCount="56">
  <si>
    <t>ID_Venta</t>
  </si>
  <si>
    <t>Fecha</t>
  </si>
  <si>
    <t>ID_Cliente</t>
  </si>
  <si>
    <t>ID_Producto</t>
  </si>
  <si>
    <t>Importe</t>
  </si>
  <si>
    <t>C001</t>
  </si>
  <si>
    <t>P001</t>
  </si>
  <si>
    <t>C002</t>
  </si>
  <si>
    <t>P002</t>
  </si>
  <si>
    <t>P003</t>
  </si>
  <si>
    <t>C003</t>
  </si>
  <si>
    <t>Cliente</t>
  </si>
  <si>
    <t>Juan Pérez</t>
  </si>
  <si>
    <t>María Gómez</t>
  </si>
  <si>
    <t>Pedro López</t>
  </si>
  <si>
    <t>Producto</t>
  </si>
  <si>
    <t>Notebook</t>
  </si>
  <si>
    <t>Mouse</t>
  </si>
  <si>
    <t>Monitor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</si>
  <si>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</si>
  <si>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</si>
  <si>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</si>
  <si>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</si>
  <si>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</si>
  <si>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</si>
  <si>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</si>
  <si>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</si>
  <si>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</si>
  <si>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</si>
  <si>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</si>
  <si>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</si>
  <si>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</si>
  <si>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Concepto</t>
  </si>
  <si>
    <t>Valor</t>
  </si>
  <si>
    <t>Precio</t>
  </si>
  <si>
    <t>Cantidad</t>
  </si>
  <si>
    <t>Beneficio</t>
  </si>
  <si>
    <t>$B$2</t>
  </si>
  <si>
    <t>$B$3</t>
  </si>
  <si>
    <t>$B$4</t>
  </si>
  <si>
    <t>Pesimista</t>
  </si>
  <si>
    <t>Creado por Agustina Di Meo el 14/9/2026</t>
  </si>
  <si>
    <t>Optimista Mostrar más líneas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</si>
  <si>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</si>
  <si>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</si>
  <si>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</si>
  <si>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</si>
  <si>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</si>
  <si>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</si>
  <si>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</si>
  <si>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BASE</t>
  </si>
  <si>
    <t>Total general</t>
  </si>
  <si>
    <t>Ventas</t>
  </si>
  <si>
    <t>Dashboard Ejecutivo de Ventas y Rentabilidad</t>
  </si>
  <si>
    <t>PROMT UTILIZADO:</t>
  </si>
  <si>
    <t>RESPUESTA RESUMIDA: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</si>
</sst>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b/>
      <sz val="12"/>
      <color indexed="9"/>
      <name val="Verdana"/>
      <family val="2"/>
    </font>
    <font>
      <b/>
      <sz val="11"/>
      <color indexed="8"/>
      <name val="Verdana"/>
      <family val="2"/>
    </font>
    <font>
      <b/>
      <sz val="11"/>
      <color indexed="18"/>
      <name val="Verdana"/>
      <family val="2"/>
    </font>
    <font>
      <sz val="10"/>
      <color indexed="9"/>
      <name val="Verdana"/>
      <family val="2"/>
    </font>
    <font>
      <sz val="8"/>
      <name val="Verdana"/>
      <family val="2"/>
    </font>
    <font>
      <sz val="11"/>
      <name val="Verdana"/>
      <family val="2"/>
    </font>
    <font>
      <b/>
      <i/>
      <u/>
      <sz val="1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Continuous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4" borderId="0" xfId="0" applyFill="1"/>
    <xf numFmtId="0" fontId="7" fillId="0" borderId="0" xfId="0" applyFont="1" applyAlignment="1">
      <alignment vertical="top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1" fillId="0" borderId="0" xfId="0" applyFont="1"/>
    <xf numFmtId="43" fontId="0" fillId="0" borderId="0" xfId="1" applyFont="1"/>
  </cellXfs>
  <cellStyles count="2">
    <cellStyle name="Millares" xfId="1" builtinId="3"/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[PreEntrega_ModeloBI_DiMeoAgustina.xlsx]Dashboard Final!TablaDinámica1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Las ventas se concentran principalmente en el cliente C002</a:t>
            </a:r>
            <a:br>
              <a:rPr lang="es-AR"/>
            </a:b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Final'!$H$24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Final'!$G$25:$G$28</c:f>
              <c:strCache>
                <c:ptCount val="3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</c:strCache>
            </c:strRef>
          </c:cat>
          <c:val>
            <c:numRef>
              <c:f>'Dashboard Final'!$H$25:$H$28</c:f>
              <c:numCache>
                <c:formatCode>_(* #,##0.00_);_(* \(#,##0.00\);_(* "-"??_);_(@_)</c:formatCode>
                <c:ptCount val="3"/>
                <c:pt idx="0">
                  <c:v>2500</c:v>
                </c:pt>
                <c:pt idx="1">
                  <c:v>4500</c:v>
                </c:pt>
                <c:pt idx="2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7-4E57-9A88-EAB965E3F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943439"/>
        <c:axId val="1418752368"/>
      </c:barChart>
      <c:catAx>
        <c:axId val="13519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8752368"/>
        <c:crosses val="autoZero"/>
        <c:auto val="1"/>
        <c:lblAlgn val="ctr"/>
        <c:lblOffset val="100"/>
        <c:noMultiLvlLbl val="0"/>
      </c:catAx>
      <c:valAx>
        <c:axId val="14187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519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0</xdr:rowOff>
    </xdr:from>
    <xdr:to>
      <xdr:col>5</xdr:col>
      <xdr:colOff>0</xdr:colOff>
      <xdr:row>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0333365-1063-C21C-6DC9-1FABC3F5EF7B}"/>
            </a:ext>
          </a:extLst>
        </xdr:cNvPr>
        <xdr:cNvSpPr/>
      </xdr:nvSpPr>
      <xdr:spPr>
        <a:xfrm>
          <a:off x="847725" y="0"/>
          <a:ext cx="3343275" cy="904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800" b="1"/>
            <a:t>VENTAS TOTALES</a:t>
          </a:r>
        </a:p>
        <a:p>
          <a:pPr algn="ctr"/>
          <a:r>
            <a:rPr lang="es-AR" sz="1800" b="1"/>
            <a:t>100.000</a:t>
          </a:r>
        </a:p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9</xdr:col>
      <xdr:colOff>828675</xdr:colOff>
      <xdr:row>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A7D2FFE-52E5-4E67-9BF7-DC0700BC5E60}"/>
            </a:ext>
          </a:extLst>
        </xdr:cNvPr>
        <xdr:cNvSpPr/>
      </xdr:nvSpPr>
      <xdr:spPr>
        <a:xfrm>
          <a:off x="5029200" y="0"/>
          <a:ext cx="3343275" cy="904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 fontAlgn="t"/>
          <a:r>
            <a:rPr lang="es-AR" sz="1800" b="1">
              <a:solidFill>
                <a:schemeClr val="lt1"/>
              </a:solidFill>
              <a:latin typeface="+mn-lt"/>
              <a:ea typeface="+mn-ea"/>
              <a:cs typeface="+mn-cs"/>
            </a:rPr>
            <a:t>MARGEN</a:t>
          </a:r>
        </a:p>
        <a:p>
          <a:pPr marL="0" indent="0" algn="ctr" fontAlgn="t"/>
          <a:r>
            <a:rPr lang="es-AR" sz="1800" b="1">
              <a:solidFill>
                <a:schemeClr val="lt1"/>
              </a:solidFill>
              <a:latin typeface="+mn-lt"/>
              <a:ea typeface="+mn-ea"/>
              <a:cs typeface="+mn-cs"/>
            </a:rPr>
            <a:t>26%</a:t>
          </a:r>
        </a:p>
        <a:p>
          <a:pPr algn="l"/>
          <a:endParaRPr lang="es-AR" sz="1100"/>
        </a:p>
      </xdr:txBody>
    </xdr:sp>
    <xdr:clientData/>
  </xdr:twoCellAnchor>
  <xdr:twoCellAnchor>
    <xdr:from>
      <xdr:col>11</xdr:col>
      <xdr:colOff>9525</xdr:colOff>
      <xdr:row>2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CC4C0E0-A1FD-4EB9-A585-2380F2047D4F}"/>
            </a:ext>
          </a:extLst>
        </xdr:cNvPr>
        <xdr:cNvSpPr/>
      </xdr:nvSpPr>
      <xdr:spPr>
        <a:xfrm>
          <a:off x="9229725" y="0"/>
          <a:ext cx="3343275" cy="904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800"/>
            <a:t>ESCENARIO</a:t>
          </a:r>
          <a:r>
            <a:rPr lang="es-AR" sz="1800" baseline="0"/>
            <a:t> </a:t>
          </a:r>
          <a:r>
            <a:rPr lang="es-AR" sz="1800">
              <a:solidFill>
                <a:schemeClr val="lt1"/>
              </a:solidFill>
              <a:latin typeface="+mn-lt"/>
              <a:ea typeface="+mn-ea"/>
              <a:cs typeface="+mn-cs"/>
            </a:rPr>
            <a:t>BASE</a:t>
          </a:r>
        </a:p>
        <a:p>
          <a:endParaRPr lang="es-AR" sz="1800"/>
        </a:p>
      </xdr:txBody>
    </xdr:sp>
    <xdr:clientData/>
  </xdr:twoCellAnchor>
  <xdr:twoCellAnchor editAs="oneCell">
    <xdr:from>
      <xdr:col>3</xdr:col>
      <xdr:colOff>285750</xdr:colOff>
      <xdr:row>7</xdr:row>
      <xdr:rowOff>114300</xdr:rowOff>
    </xdr:from>
    <xdr:to>
      <xdr:col>5</xdr:col>
      <xdr:colOff>438150</xdr:colOff>
      <xdr:row>22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Fecha">
              <a:extLst>
                <a:ext uri="{FF2B5EF4-FFF2-40B4-BE49-F238E27FC236}">
                  <a16:creationId xmlns:a16="http://schemas.microsoft.com/office/drawing/2014/main" id="{EBAE1178-3CF3-B2D6-459F-519CE7A3F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700" y="15906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523875</xdr:colOff>
      <xdr:row>7</xdr:row>
      <xdr:rowOff>123825</xdr:rowOff>
    </xdr:from>
    <xdr:to>
      <xdr:col>7</xdr:col>
      <xdr:colOff>409575</xdr:colOff>
      <xdr:row>22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ID_Cliente">
              <a:extLst>
                <a:ext uri="{FF2B5EF4-FFF2-40B4-BE49-F238E27FC236}">
                  <a16:creationId xmlns:a16="http://schemas.microsoft.com/office/drawing/2014/main" id="{FA08D46F-78D2-0846-E453-F53EE6B5C7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1225" y="16002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771525</xdr:colOff>
      <xdr:row>7</xdr:row>
      <xdr:rowOff>133350</xdr:rowOff>
    </xdr:from>
    <xdr:to>
      <xdr:col>9</xdr:col>
      <xdr:colOff>295275</xdr:colOff>
      <xdr:row>22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ID_Producto">
              <a:extLst>
                <a:ext uri="{FF2B5EF4-FFF2-40B4-BE49-F238E27FC236}">
                  <a16:creationId xmlns:a16="http://schemas.microsoft.com/office/drawing/2014/main" id="{A191E96E-C316-DF42-C322-5366E091FC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1975" y="16097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723899</xdr:colOff>
      <xdr:row>16</xdr:row>
      <xdr:rowOff>47624</xdr:rowOff>
    </xdr:from>
    <xdr:to>
      <xdr:col>14</xdr:col>
      <xdr:colOff>276224</xdr:colOff>
      <xdr:row>23</xdr:row>
      <xdr:rowOff>85724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E07ECA2-15EC-3032-985A-966854DC3428}"/>
            </a:ext>
          </a:extLst>
        </xdr:cNvPr>
        <xdr:cNvSpPr txBox="1"/>
      </xdr:nvSpPr>
      <xdr:spPr>
        <a:xfrm>
          <a:off x="11277599" y="3152774"/>
          <a:ext cx="290512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400" b="1"/>
            <a:t>Conclusión Principal:</a:t>
          </a:r>
          <a:br>
            <a:rPr lang="es-AR" b="1"/>
          </a:br>
          <a:endParaRPr lang="es-AR" b="1"/>
        </a:p>
        <a:p>
          <a:r>
            <a:rPr lang="es-AR" b="1"/>
            <a:t>Las ventas se concentran en pocos clientes clave y el escenario optimista podría incrementar el beneficio un 44% respecto al escenario base.</a:t>
          </a:r>
        </a:p>
        <a:p>
          <a:endParaRPr lang="es-AR" sz="1100"/>
        </a:p>
      </xdr:txBody>
    </xdr:sp>
    <xdr:clientData/>
  </xdr:twoCellAnchor>
  <xdr:twoCellAnchor>
    <xdr:from>
      <xdr:col>0</xdr:col>
      <xdr:colOff>461962</xdr:colOff>
      <xdr:row>22</xdr:row>
      <xdr:rowOff>138112</xdr:rowOff>
    </xdr:from>
    <xdr:to>
      <xdr:col>3</xdr:col>
      <xdr:colOff>247650</xdr:colOff>
      <xdr:row>36</xdr:row>
      <xdr:rowOff>171450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22AFF09-8EFB-52FB-B083-70D51A15C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171449</xdr:rowOff>
    </xdr:from>
    <xdr:to>
      <xdr:col>6</xdr:col>
      <xdr:colOff>819150</xdr:colOff>
      <xdr:row>5</xdr:row>
      <xdr:rowOff>9524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246E4A3-568E-C822-8C91-A2A5773EB630}"/>
            </a:ext>
          </a:extLst>
        </xdr:cNvPr>
        <xdr:cNvSpPr txBox="1"/>
      </xdr:nvSpPr>
      <xdr:spPr>
        <a:xfrm>
          <a:off x="0" y="352424"/>
          <a:ext cx="58483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/>
            <a:t>Tengo un dashboard donde el beneficio pasa de 64.000 a 144.000 entre el escenario pesimista y optimista. ¿Qué hipótesis adicionales podrían explicar esta diferencia?</a:t>
          </a:r>
        </a:p>
        <a:p>
          <a:endParaRPr lang="es-AR" sz="1100"/>
        </a:p>
      </xdr:txBody>
    </xdr:sp>
    <xdr:clientData/>
  </xdr:twoCellAnchor>
  <xdr:twoCellAnchor>
    <xdr:from>
      <xdr:col>0</xdr:col>
      <xdr:colOff>9525</xdr:colOff>
      <xdr:row>7</xdr:row>
      <xdr:rowOff>171449</xdr:rowOff>
    </xdr:from>
    <xdr:to>
      <xdr:col>6</xdr:col>
      <xdr:colOff>828675</xdr:colOff>
      <xdr:row>11</xdr:row>
      <xdr:rowOff>9524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00CD2AE-5A4B-40F2-B071-3A1B6E3B1A4B}"/>
            </a:ext>
          </a:extLst>
        </xdr:cNvPr>
        <xdr:cNvSpPr txBox="1"/>
      </xdr:nvSpPr>
      <xdr:spPr>
        <a:xfrm>
          <a:off x="9525" y="1438274"/>
          <a:ext cx="58483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IA sugirió evaluar elasticidad de demanda, costos variables, cambios en la mezcla de productos y factores externos antes de atribuir la mejora únicamente al precio.</a:t>
          </a:r>
        </a:p>
        <a:p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stina Di Meo" refreshedDate="46279.410486342589" createdVersion="8" refreshedVersion="8" minRefreshableVersion="3" recordCount="5" xr:uid="{BBDA0998-0BEA-4441-BD80-B6A7F5B4B17A}">
  <cacheSource type="worksheet">
    <worksheetSource name="tblVentas"/>
  </cacheSource>
  <cacheFields count="5">
    <cacheField name="ID_Vent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14">
      <sharedItems containsSemiMixedTypes="0" containsNonDate="0" containsDate="1" containsString="0" minDate="2026-01-01T00:00:00" maxDate="2026-01-21T00:00:00" count="5">
        <d v="2026-01-01T00:00:00"/>
        <d v="2026-01-05T00:00:00"/>
        <d v="2026-01-10T00:00:00"/>
        <d v="2026-01-15T00:00:00"/>
        <d v="2026-01-20T00:00:00"/>
      </sharedItems>
    </cacheField>
    <cacheField name="ID_Cliente" numFmtId="0">
      <sharedItems count="3">
        <s v="C001"/>
        <s v="C002"/>
        <s v="C003"/>
      </sharedItems>
    </cacheField>
    <cacheField name="ID_Producto" numFmtId="0">
      <sharedItems count="3">
        <s v="P001"/>
        <s v="P002"/>
        <s v="P003"/>
      </sharedItems>
    </cacheField>
    <cacheField name="Importe" numFmtId="0">
      <sharedItems containsSemiMixedTypes="0" containsString="0" containsNumber="1" containsInteger="1" minValue="1000" maxValue="2500" count="5">
        <n v="1000"/>
        <n v="2000"/>
        <n v="1500"/>
        <n v="1800"/>
        <n v="2500"/>
      </sharedItems>
    </cacheField>
  </cacheFields>
  <extLst>
    <ext xmlns:x14="http://schemas.microsoft.com/office/spreadsheetml/2009/9/main" uri="{725AE2AE-9491-48be-B2B4-4EB974FC3084}">
      <x14:pivotCacheDefinition pivotCacheId="5412288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x v="0"/>
  </r>
  <r>
    <x v="1"/>
    <x v="1"/>
    <x v="1"/>
    <x v="1"/>
    <x v="1"/>
  </r>
  <r>
    <x v="2"/>
    <x v="2"/>
    <x v="0"/>
    <x v="2"/>
    <x v="2"/>
  </r>
  <r>
    <x v="3"/>
    <x v="3"/>
    <x v="2"/>
    <x v="0"/>
    <x v="3"/>
  </r>
  <r>
    <x v="4"/>
    <x v="4"/>
    <x v="1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5ACF4-B6B1-454D-83E4-EC118136FD73}" name="TablaDiná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liente">
  <location ref="G24:H28" firstHeaderRow="1" firstDataRow="1" firstDataCol="1"/>
  <pivotFields count="5">
    <pivotField showAll="0"/>
    <pivotField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enta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DA8C1FBC-CE4D-4D5B-8F82-3B0E64D6C2C2}" sourceName="Fecha">
  <pivotTables>
    <pivotTable tabId="9" name="TablaDinámica1"/>
  </pivotTables>
  <data>
    <tabular pivotCacheId="541228876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Cliente" xr10:uid="{C8FFD41A-EFF9-4792-8875-FD9CD34DD924}" sourceName="ID_Cliente">
  <pivotTables>
    <pivotTable tabId="9" name="TablaDinámica1"/>
  </pivotTables>
  <data>
    <tabular pivotCacheId="541228876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Producto" xr10:uid="{D81E142A-3DA2-4F07-8609-E352E6CFDA94}" sourceName="ID_Producto">
  <pivotTables>
    <pivotTable tabId="9" name="TablaDinámica1"/>
  </pivotTables>
  <data>
    <tabular pivotCacheId="54122887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E3A0C771-DC57-436A-9D6E-60BD5A2A219E}" cache="SegmentaciónDeDatos_Fecha" caption="Fecha" rowHeight="257175"/>
  <slicer name="ID_Cliente" xr10:uid="{1BD93D0B-18C6-4A62-AE1D-5CBD750EC24F}" cache="SegmentaciónDeDatos_ID_Cliente" caption="ID_Cliente" rowHeight="257175"/>
  <slicer name="ID_Producto" xr10:uid="{3A3CF1AA-6C90-448F-AF70-A9F77FF2E18B}" cache="SegmentaciónDeDatos_ID_Producto" caption="ID_Product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39AFB-DE4F-40E3-9098-AC129AF5AEE8}" name="tblVentas" displayName="tblVentas" ref="A1:E6" totalsRowShown="0" headerRowDxfId="14" dataDxfId="13">
  <autoFilter ref="A1:E6" xr:uid="{AB839AFB-DE4F-40E3-9098-AC129AF5AEE8}"/>
  <tableColumns count="5">
    <tableColumn id="1" xr3:uid="{A495F15E-2F09-4A1B-8D93-2F7EEEE18445}" name="ID_Venta" dataDxfId="12"/>
    <tableColumn id="2" xr3:uid="{758FF96F-AEA1-4DC7-9C3D-8FE7097A8649}" name="Fecha" dataDxfId="11"/>
    <tableColumn id="3" xr3:uid="{B4B46408-46A5-4B47-B202-BC5AAE3BC262}" name="ID_Cliente" dataDxfId="10"/>
    <tableColumn id="4" xr3:uid="{1F84BAAA-9DE0-438B-AC6B-F6FB9E40EE73}" name="ID_Producto" dataDxfId="9"/>
    <tableColumn id="5" xr3:uid="{8E0E7BCD-28DC-4AB6-AA5D-58A1F90F987F}" name="Importe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9BC53-9606-466F-82FD-7D81DF9723F3}" name="tblClientes" displayName="tblClientes" ref="A1:B4" totalsRowShown="0" headerRowDxfId="7" dataDxfId="6">
  <autoFilter ref="A1:B4" xr:uid="{4079BC53-9606-466F-82FD-7D81DF9723F3}"/>
  <tableColumns count="2">
    <tableColumn id="1" xr3:uid="{A8CFB3DE-3464-43DB-A4A0-7532BA49A63A}" name="ID_Cliente" dataDxfId="5"/>
    <tableColumn id="2" xr3:uid="{E4248009-1FD9-4DBC-A28D-49D862B27C04}" name="Client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09D0D9-6D8D-4759-9337-B3B3658B54B0}" name="tblProductos" displayName="tblProductos" ref="A1:B4" totalsRowShown="0" headerRowDxfId="3" dataDxfId="2">
  <autoFilter ref="A1:B4" xr:uid="{D409D0D9-6D8D-4759-9337-B3B3658B54B0}"/>
  <tableColumns count="2">
    <tableColumn id="1" xr3:uid="{E73CE36D-9E36-4C7A-B369-090456F21063}" name="ID_Producto" dataDxfId="1"/>
    <tableColumn id="2" xr3:uid="{4D5473FD-B96B-48A9-831E-64ADA8DEE38B}" name="Produc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baseColWidth="10" defaultColWidth="8.796875" defaultRowHeight="14.25" x14ac:dyDescent="0.2"/>
  <cols>
    <col min="1" max="1" width="10.09765625" customWidth="1"/>
    <col min="2" max="2" width="9.296875" bestFit="1" customWidth="1"/>
    <col min="3" max="3" width="10.8984375" customWidth="1"/>
    <col min="4" max="4" width="12.59765625" customWidth="1"/>
    <col min="5" max="5" width="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>
        <v>46023</v>
      </c>
      <c r="C2" s="2" t="s">
        <v>5</v>
      </c>
      <c r="D2" s="2" t="s">
        <v>6</v>
      </c>
      <c r="E2" s="2">
        <v>1000</v>
      </c>
    </row>
    <row r="3" spans="1:5" x14ac:dyDescent="0.2">
      <c r="A3" s="2">
        <v>2</v>
      </c>
      <c r="B3" s="3">
        <v>46027</v>
      </c>
      <c r="C3" s="2" t="s">
        <v>7</v>
      </c>
      <c r="D3" s="2" t="s">
        <v>8</v>
      </c>
      <c r="E3" s="2">
        <v>2000</v>
      </c>
    </row>
    <row r="4" spans="1:5" x14ac:dyDescent="0.2">
      <c r="A4" s="2">
        <v>3</v>
      </c>
      <c r="B4" s="3">
        <v>46032</v>
      </c>
      <c r="C4" s="2" t="s">
        <v>5</v>
      </c>
      <c r="D4" s="2" t="s">
        <v>9</v>
      </c>
      <c r="E4" s="2">
        <v>1500</v>
      </c>
    </row>
    <row r="5" spans="1:5" x14ac:dyDescent="0.2">
      <c r="A5" s="2">
        <v>4</v>
      </c>
      <c r="B5" s="3">
        <v>46037</v>
      </c>
      <c r="C5" s="2" t="s">
        <v>10</v>
      </c>
      <c r="D5" s="2" t="s">
        <v>6</v>
      </c>
      <c r="E5" s="2">
        <v>1800</v>
      </c>
    </row>
    <row r="6" spans="1:5" x14ac:dyDescent="0.2">
      <c r="A6" s="2">
        <v>5</v>
      </c>
      <c r="B6" s="3">
        <v>46042</v>
      </c>
      <c r="C6" s="2" t="s">
        <v>7</v>
      </c>
      <c r="D6" s="2" t="s">
        <v>9</v>
      </c>
      <c r="E6" s="2">
        <v>2500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4869-1199-47CD-AA44-DF33E1693989}">
  <dimension ref="A1:B4"/>
  <sheetViews>
    <sheetView workbookViewId="0">
      <selection sqref="A1:B4"/>
    </sheetView>
  </sheetViews>
  <sheetFormatPr baseColWidth="10" defaultColWidth="8.796875" defaultRowHeight="14.25" x14ac:dyDescent="0.2"/>
  <cols>
    <col min="1" max="1" width="10.8984375" customWidth="1"/>
  </cols>
  <sheetData>
    <row r="1" spans="1:2" x14ac:dyDescent="0.2">
      <c r="A1" s="1" t="s">
        <v>2</v>
      </c>
      <c r="B1" s="1" t="s">
        <v>11</v>
      </c>
    </row>
    <row r="2" spans="1:2" ht="28.5" x14ac:dyDescent="0.2">
      <c r="A2" s="2" t="s">
        <v>5</v>
      </c>
      <c r="B2" s="2" t="s">
        <v>12</v>
      </c>
    </row>
    <row r="3" spans="1:2" ht="28.5" x14ac:dyDescent="0.2">
      <c r="A3" s="2" t="s">
        <v>7</v>
      </c>
      <c r="B3" s="2" t="s">
        <v>13</v>
      </c>
    </row>
    <row r="4" spans="1:2" ht="28.5" x14ac:dyDescent="0.2">
      <c r="A4" s="2" t="s">
        <v>10</v>
      </c>
      <c r="B4" s="2" t="s">
        <v>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649-9B59-4B01-AB90-C58BA7E167FC}">
  <dimension ref="A1:B4"/>
  <sheetViews>
    <sheetView workbookViewId="0">
      <selection sqref="A1:B4"/>
    </sheetView>
  </sheetViews>
  <sheetFormatPr baseColWidth="10" defaultColWidth="8.796875" defaultRowHeight="14.25" x14ac:dyDescent="0.2"/>
  <cols>
    <col min="1" max="1" width="12.59765625" customWidth="1"/>
    <col min="2" max="2" width="9.5" customWidth="1"/>
  </cols>
  <sheetData>
    <row r="1" spans="1:2" x14ac:dyDescent="0.2">
      <c r="A1" s="1" t="s">
        <v>3</v>
      </c>
      <c r="B1" s="1" t="s">
        <v>15</v>
      </c>
    </row>
    <row r="2" spans="1:2" x14ac:dyDescent="0.2">
      <c r="A2" s="2" t="s">
        <v>6</v>
      </c>
      <c r="B2" s="2" t="s">
        <v>16</v>
      </c>
    </row>
    <row r="3" spans="1:2" x14ac:dyDescent="0.2">
      <c r="A3" s="2" t="s">
        <v>8</v>
      </c>
      <c r="B3" s="2" t="s">
        <v>17</v>
      </c>
    </row>
    <row r="4" spans="1:2" x14ac:dyDescent="0.2">
      <c r="A4" s="2" t="s">
        <v>9</v>
      </c>
      <c r="B4" s="2" t="s">
        <v>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67EE-404C-44A5-BE1E-8165B4CC07EA}">
  <dimension ref="A1:B15"/>
  <sheetViews>
    <sheetView workbookViewId="0">
      <selection sqref="A1:B15"/>
    </sheetView>
  </sheetViews>
  <sheetFormatPr baseColWidth="10" defaultColWidth="8.796875" defaultRowHeight="14.25" x14ac:dyDescent="0.2"/>
  <sheetData>
    <row r="1" spans="1:2" x14ac:dyDescent="0.2">
      <c r="A1" s="6" t="s">
        <v>4</v>
      </c>
      <c r="B1" s="6"/>
    </row>
    <row r="3" spans="1:2" x14ac:dyDescent="0.2">
      <c r="A3" t="s">
        <v>19</v>
      </c>
      <c r="B3">
        <v>1760</v>
      </c>
    </row>
    <row r="4" spans="1:2" x14ac:dyDescent="0.2">
      <c r="A4" t="s">
        <v>20</v>
      </c>
      <c r="B4">
        <v>250.19992006393608</v>
      </c>
    </row>
    <row r="5" spans="1:2" x14ac:dyDescent="0.2">
      <c r="A5" t="s">
        <v>21</v>
      </c>
      <c r="B5">
        <v>1800</v>
      </c>
    </row>
    <row r="6" spans="1:2" x14ac:dyDescent="0.2">
      <c r="A6" t="s">
        <v>22</v>
      </c>
      <c r="B6" t="e">
        <v>#N/A</v>
      </c>
    </row>
    <row r="7" spans="1:2" x14ac:dyDescent="0.2">
      <c r="A7" t="s">
        <v>23</v>
      </c>
      <c r="B7">
        <v>559.46402922797461</v>
      </c>
    </row>
    <row r="8" spans="1:2" x14ac:dyDescent="0.2">
      <c r="A8" t="s">
        <v>24</v>
      </c>
      <c r="B8">
        <v>313000</v>
      </c>
    </row>
    <row r="9" spans="1:2" x14ac:dyDescent="0.2">
      <c r="A9" t="s">
        <v>25</v>
      </c>
      <c r="B9">
        <v>0.18342536924945563</v>
      </c>
    </row>
    <row r="10" spans="1:2" x14ac:dyDescent="0.2">
      <c r="A10" t="s">
        <v>26</v>
      </c>
      <c r="B10">
        <v>-8.9085719523077644E-2</v>
      </c>
    </row>
    <row r="11" spans="1:2" x14ac:dyDescent="0.2">
      <c r="A11" t="s">
        <v>27</v>
      </c>
      <c r="B11">
        <v>1500</v>
      </c>
    </row>
    <row r="12" spans="1:2" x14ac:dyDescent="0.2">
      <c r="A12" t="s">
        <v>28</v>
      </c>
      <c r="B12">
        <v>1000</v>
      </c>
    </row>
    <row r="13" spans="1:2" x14ac:dyDescent="0.2">
      <c r="A13" t="s">
        <v>29</v>
      </c>
      <c r="B13">
        <v>2500</v>
      </c>
    </row>
    <row r="14" spans="1:2" x14ac:dyDescent="0.2">
      <c r="A14" t="s">
        <v>30</v>
      </c>
      <c r="B14">
        <v>8800</v>
      </c>
    </row>
    <row r="15" spans="1:2" ht="15" thickBot="1" x14ac:dyDescent="0.25">
      <c r="A15" s="4" t="s">
        <v>31</v>
      </c>
      <c r="B15" s="4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AA84-B09A-43CE-B837-CAE9AA5ADFC5}">
  <sheetPr>
    <outlinePr summaryBelow="0"/>
  </sheetPr>
  <dimension ref="B1:G12"/>
  <sheetViews>
    <sheetView showGridLines="0" workbookViewId="0"/>
  </sheetViews>
  <sheetFormatPr baseColWidth="10" defaultRowHeight="14.25" outlineLevelRow="1" outlineLevelCol="1" x14ac:dyDescent="0.2"/>
  <cols>
    <col min="3" max="3" width="5.296875" bestFit="1" customWidth="1"/>
    <col min="4" max="7" width="19.796875" bestFit="1" customWidth="1" outlineLevel="1"/>
  </cols>
  <sheetData>
    <row r="1" spans="2:7" ht="15" thickBot="1" x14ac:dyDescent="0.25"/>
    <row r="2" spans="2:7" ht="15" x14ac:dyDescent="0.2">
      <c r="B2" s="10" t="s">
        <v>43</v>
      </c>
      <c r="C2" s="10"/>
      <c r="D2" s="14"/>
      <c r="E2" s="14"/>
      <c r="F2" s="14"/>
      <c r="G2" s="14"/>
    </row>
    <row r="3" spans="2:7" ht="15" collapsed="1" x14ac:dyDescent="0.2">
      <c r="B3" s="9"/>
      <c r="C3" s="9"/>
      <c r="D3" s="15" t="s">
        <v>45</v>
      </c>
      <c r="E3" s="15" t="s">
        <v>40</v>
      </c>
      <c r="F3" s="15" t="s">
        <v>42</v>
      </c>
      <c r="G3" s="15" t="s">
        <v>50</v>
      </c>
    </row>
    <row r="4" spans="2:7" ht="21" hidden="1" outlineLevel="1" x14ac:dyDescent="0.2">
      <c r="B4" s="11"/>
      <c r="C4" s="11"/>
      <c r="E4" s="17" t="s">
        <v>41</v>
      </c>
      <c r="F4" s="17" t="s">
        <v>41</v>
      </c>
      <c r="G4" s="17" t="s">
        <v>41</v>
      </c>
    </row>
    <row r="5" spans="2:7" x14ac:dyDescent="0.2">
      <c r="B5" s="12" t="s">
        <v>44</v>
      </c>
      <c r="C5" s="12"/>
      <c r="D5" s="5"/>
      <c r="E5" s="5"/>
      <c r="F5" s="5"/>
      <c r="G5" s="5"/>
    </row>
    <row r="6" spans="2:7" outlineLevel="1" x14ac:dyDescent="0.2">
      <c r="B6" s="11"/>
      <c r="C6" s="11" t="s">
        <v>37</v>
      </c>
      <c r="D6">
        <v>120</v>
      </c>
      <c r="E6" s="16">
        <v>80</v>
      </c>
      <c r="F6" s="16">
        <v>120</v>
      </c>
      <c r="G6" s="16">
        <v>100</v>
      </c>
    </row>
    <row r="7" spans="2:7" outlineLevel="1" x14ac:dyDescent="0.2">
      <c r="B7" s="11"/>
      <c r="C7" s="11" t="s">
        <v>38</v>
      </c>
      <c r="D7">
        <v>1200</v>
      </c>
      <c r="E7" s="16">
        <v>800</v>
      </c>
      <c r="F7" s="16">
        <v>1200</v>
      </c>
      <c r="G7" s="16">
        <v>1000</v>
      </c>
    </row>
    <row r="8" spans="2:7" x14ac:dyDescent="0.2">
      <c r="B8" s="12" t="s">
        <v>46</v>
      </c>
      <c r="C8" s="12"/>
      <c r="D8" s="5"/>
      <c r="E8" s="5"/>
      <c r="F8" s="5"/>
      <c r="G8" s="5"/>
    </row>
    <row r="9" spans="2:7" ht="15" outlineLevel="1" thickBot="1" x14ac:dyDescent="0.25">
      <c r="B9" s="13"/>
      <c r="C9" s="13" t="s">
        <v>39</v>
      </c>
      <c r="D9" s="4">
        <v>144000</v>
      </c>
      <c r="E9" s="4">
        <v>64000</v>
      </c>
      <c r="F9" s="4">
        <v>144000</v>
      </c>
      <c r="G9" s="4">
        <v>100000</v>
      </c>
    </row>
    <row r="10" spans="2:7" x14ac:dyDescent="0.2">
      <c r="B10" t="s">
        <v>47</v>
      </c>
    </row>
    <row r="11" spans="2:7" x14ac:dyDescent="0.2">
      <c r="B11" t="s">
        <v>48</v>
      </c>
    </row>
    <row r="12" spans="2:7" x14ac:dyDescent="0.2">
      <c r="B1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8E0E-EEB4-4D5E-9C15-161FA7C240E5}">
  <dimension ref="A1:B4"/>
  <sheetViews>
    <sheetView workbookViewId="0">
      <selection activeCell="B4" sqref="B4"/>
    </sheetView>
  </sheetViews>
  <sheetFormatPr baseColWidth="10" defaultColWidth="8.796875" defaultRowHeight="14.25" x14ac:dyDescent="0.2"/>
  <sheetData>
    <row r="1" spans="1:2" x14ac:dyDescent="0.2">
      <c r="A1" s="1" t="s">
        <v>32</v>
      </c>
      <c r="B1" s="8" t="s">
        <v>33</v>
      </c>
    </row>
    <row r="2" spans="1:2" x14ac:dyDescent="0.2">
      <c r="A2" s="2" t="s">
        <v>34</v>
      </c>
      <c r="B2" s="7">
        <v>120</v>
      </c>
    </row>
    <row r="3" spans="1:2" x14ac:dyDescent="0.2">
      <c r="A3" s="2" t="s">
        <v>35</v>
      </c>
      <c r="B3" s="7">
        <v>1200</v>
      </c>
    </row>
    <row r="4" spans="1:2" x14ac:dyDescent="0.2">
      <c r="A4" s="2" t="s">
        <v>36</v>
      </c>
      <c r="B4">
        <f>B2*B3</f>
        <v>144000</v>
      </c>
    </row>
  </sheetData>
  <scenarios current="0" show="1" sqref="B4">
    <scenario name="Pesimista" locked="1" count="2" user="Agustina Di Meo" comment="Creado por Agustina Di Meo el 14/9/2026">
      <inputCells r="B2" val="80"/>
      <inputCells r="B3" val="800"/>
    </scenario>
    <scenario name="Optimista Mostrar más líneas" locked="1" count="2" user="Agustina Di Meo" comment="Creado por Agustina Di Meo el 14/9/2026">
      <inputCells r="B2" val="120"/>
      <inputCells r="B3" val="1200"/>
    </scenario>
    <scenario name="BASE" locked="1" count="2" user="Agustina Di Meo" comment="Creado por Agustina Di Meo el 14/9/2026">
      <inputCells r="B2" val="100"/>
      <inputCells r="B3" val="1000"/>
    </scenario>
  </scenario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54CB-3D14-43DC-B885-01C7239B747C}">
  <dimension ref="A1:L28"/>
  <sheetViews>
    <sheetView showGridLines="0" tabSelected="1" workbookViewId="0">
      <selection activeCell="F29" sqref="F29"/>
    </sheetView>
  </sheetViews>
  <sheetFormatPr baseColWidth="10" defaultColWidth="8.796875" defaultRowHeight="14.25" x14ac:dyDescent="0.2"/>
  <cols>
    <col min="2" max="2" width="15.59765625" bestFit="1" customWidth="1"/>
    <col min="3" max="3" width="15.3984375" bestFit="1" customWidth="1"/>
    <col min="7" max="7" width="11.59765625" bestFit="1" customWidth="1"/>
    <col min="8" max="8" width="15.3984375" style="23" bestFit="1" customWidth="1"/>
  </cols>
  <sheetData>
    <row r="1" spans="1:12" ht="22.5" x14ac:dyDescent="0.3">
      <c r="E1" s="21" t="s">
        <v>53</v>
      </c>
    </row>
    <row r="2" spans="1:12" ht="22.5" x14ac:dyDescent="0.3">
      <c r="G2" s="21"/>
    </row>
    <row r="5" spans="1:12" x14ac:dyDescent="0.2">
      <c r="A5" s="18"/>
    </row>
    <row r="15" spans="1:12" x14ac:dyDescent="0.2">
      <c r="L15" s="22"/>
    </row>
    <row r="16" spans="1:12" x14ac:dyDescent="0.2">
      <c r="L16" s="22"/>
    </row>
    <row r="24" spans="7:8" x14ac:dyDescent="0.2">
      <c r="G24" s="19" t="s">
        <v>11</v>
      </c>
      <c r="H24" s="23" t="s">
        <v>52</v>
      </c>
    </row>
    <row r="25" spans="7:8" x14ac:dyDescent="0.2">
      <c r="G25" s="20" t="s">
        <v>5</v>
      </c>
      <c r="H25" s="23">
        <v>2500</v>
      </c>
    </row>
    <row r="26" spans="7:8" x14ac:dyDescent="0.2">
      <c r="G26" s="20" t="s">
        <v>7</v>
      </c>
      <c r="H26" s="23">
        <v>4500</v>
      </c>
    </row>
    <row r="27" spans="7:8" x14ac:dyDescent="0.2">
      <c r="G27" s="20" t="s">
        <v>10</v>
      </c>
      <c r="H27" s="23">
        <v>1800</v>
      </c>
    </row>
    <row r="28" spans="7:8" x14ac:dyDescent="0.2">
      <c r="G28" s="20" t="s">
        <v>51</v>
      </c>
      <c r="H28" s="23">
        <v>8800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3AD3-BFAD-4A43-8B86-AA7B9E2ECB95}">
  <dimension ref="A1:A7"/>
  <sheetViews>
    <sheetView workbookViewId="0">
      <selection activeCell="C19" sqref="C19"/>
    </sheetView>
  </sheetViews>
  <sheetFormatPr baseColWidth="10" defaultColWidth="8.796875" defaultRowHeight="14.25" x14ac:dyDescent="0.2"/>
  <sheetData>
    <row r="1" spans="1:1" x14ac:dyDescent="0.2">
      <c r="A1" t="s">
        <v>54</v>
      </c>
    </row>
    <row r="7" spans="1:1" x14ac:dyDescent="0.2">
      <c r="A7" t="s">
        <v>55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B755513-2F98-4B09-9BB8-A8924332C919}">
  <ds:schemaRefs/>
</ds:datastoreItem>
</file>

<file path=customXml/itemProps2.xml><?xml version="1.0" encoding="utf-8"?>
<ds:datastoreItem xmlns:ds="http://schemas.openxmlformats.org/officeDocument/2006/customXml" ds:itemID="{F1804ABE-3081-441B-AFCE-47759F224DCC}">
  <ds:schemaRefs/>
</ds:datastoreItem>
</file>

<file path=customXml/itemProps3.xml><?xml version="1.0" encoding="utf-8"?>
<ds:datastoreItem xmlns:ds="http://schemas.openxmlformats.org/officeDocument/2006/customXml" ds:itemID="{B93AC564-948F-4AE4-A4DC-E8E9E34BF98E}">
  <ds:schemaRefs/>
</ds:datastoreItem>
</file>

<file path=customXml/itemProps4.xml><?xml version="1.0" encoding="utf-8"?>
<ds:datastoreItem xmlns:ds="http://schemas.openxmlformats.org/officeDocument/2006/customXml" ds:itemID="{6B220B35-2AFD-4AAD-872A-AAA53DF4E7BC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597F28C1-49E6-4D8E-BBCA-400092813AB7}">
  <ds:schemaRefs/>
</ds:datastoreItem>
</file>

<file path=customXml/itemProps6.xml><?xml version="1.0" encoding="utf-8"?>
<ds:datastoreItem xmlns:ds="http://schemas.openxmlformats.org/officeDocument/2006/customXml" ds:itemID="{E6307210-62F7-4536-A5B0-B450BD193084}">
  <ds:schemaRefs/>
</ds:datastoreItem>
</file>

<file path=customXml/itemProps7.xml><?xml version="1.0" encoding="utf-8"?>
<ds:datastoreItem xmlns:ds="http://schemas.openxmlformats.org/officeDocument/2006/customXml" ds:itemID="{724603C7-19AB-4C76-9738-3D20B7F5DC04}">
  <ds:schemaRefs/>
</ds:datastoreItem>
</file>

<file path=customXml/itemProps8.xml><?xml version="1.0" encoding="utf-8"?>
<ds:datastoreItem xmlns:ds="http://schemas.openxmlformats.org/officeDocument/2006/customXml" ds:itemID="{B04EAC06-0D8B-4E83-AAB5-0E54E15799E4}">
  <ds:schemaRefs/>
</ds:datastoreItem>
</file>

<file path=customXml/itemProps9.xml><?xml version="1.0" encoding="utf-8"?>
<ds:datastoreItem xmlns:ds="http://schemas.openxmlformats.org/officeDocument/2006/customXml" ds:itemID="{3AE46866-F666-47B2-A68D-2F09DF726526}">
  <ds:schemaRefs/>
</ds:datastoreItem>
</file>

<file path=customXml/itemProps10.xml><?xml version="1.0" encoding="utf-8"?>
<ds:datastoreItem xmlns:ds="http://schemas.openxmlformats.org/officeDocument/2006/customXml" ds:itemID="{851ADC23-1511-4EAF-8DC1-17323AA02098}">
  <ds:schemaRefs/>
</ds:datastoreItem>
</file>

<file path=customXml/itemProps11.xml><?xml version="1.0" encoding="utf-8"?>
<ds:datastoreItem xmlns:ds="http://schemas.openxmlformats.org/officeDocument/2006/customXml" ds:itemID="{702A2F70-4956-4A74-B7B6-BCCB92611699}">
  <ds:schemaRefs/>
</ds:datastoreItem>
</file>

<file path=customXml/itemProps12.xml><?xml version="1.0" encoding="utf-8"?>
<ds:datastoreItem xmlns:ds="http://schemas.openxmlformats.org/officeDocument/2006/customXml" ds:itemID="{FC8B5803-EA15-45D2-A602-81C670B792D2}">
  <ds:schemaRefs/>
</ds:datastoreItem>
</file>

<file path=customXml/itemProps13.xml><?xml version="1.0" encoding="utf-8"?>
<ds:datastoreItem xmlns:ds="http://schemas.openxmlformats.org/officeDocument/2006/customXml" ds:itemID="{CBEB32E0-F1EB-4AD8-9AE6-5B6D27CF1E91}">
  <ds:schemaRefs/>
</ds:datastoreItem>
</file>

<file path=customXml/itemProps14.xml><?xml version="1.0" encoding="utf-8"?>
<ds:datastoreItem xmlns:ds="http://schemas.openxmlformats.org/officeDocument/2006/customXml" ds:itemID="{C5B79144-63A1-409E-BDAA-5E7A63170FB4}">
  <ds:schemaRefs/>
</ds:datastoreItem>
</file>

<file path=customXml/itemProps15.xml><?xml version="1.0" encoding="utf-8"?>
<ds:datastoreItem xmlns:ds="http://schemas.openxmlformats.org/officeDocument/2006/customXml" ds:itemID="{58C117D4-5064-445B-BB56-173A19B5ACF7}">
  <ds:schemaRefs/>
</ds:datastoreItem>
</file>

<file path=customXml/itemProps16.xml><?xml version="1.0" encoding="utf-8"?>
<ds:datastoreItem xmlns:ds="http://schemas.openxmlformats.org/officeDocument/2006/customXml" ds:itemID="{2BD7826A-CB69-4C79-900F-7A378561A4B4}">
  <ds:schemaRefs/>
</ds:datastoreItem>
</file>

<file path=customXml/itemProps17.xml><?xml version="1.0" encoding="utf-8"?>
<ds:datastoreItem xmlns:ds="http://schemas.openxmlformats.org/officeDocument/2006/customXml" ds:itemID="{4A12BC82-FF49-487E-AB79-FBCA9068D486}">
  <ds:schemaRefs/>
</ds:datastoreItem>
</file>

<file path=customXml/itemProps18.xml><?xml version="1.0" encoding="utf-8"?>
<ds:datastoreItem xmlns:ds="http://schemas.openxmlformats.org/officeDocument/2006/customXml" ds:itemID="{1DA51B68-766F-4D9D-B619-C8A84BBF2204}">
  <ds:schemaRefs/>
</ds:datastoreItem>
</file>

<file path=customXml/itemProps19.xml><?xml version="1.0" encoding="utf-8"?>
<ds:datastoreItem xmlns:ds="http://schemas.openxmlformats.org/officeDocument/2006/customXml" ds:itemID="{6C259D0D-71E6-4749-920F-24D51947CE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Ventas</vt:lpstr>
      <vt:lpstr>Clientes</vt:lpstr>
      <vt:lpstr>Productos</vt:lpstr>
      <vt:lpstr>Estadistica</vt:lpstr>
      <vt:lpstr>Resumen del escenario</vt:lpstr>
      <vt:lpstr>Escenarios</vt:lpstr>
      <vt:lpstr>Dashboard Final</vt:lpstr>
      <vt:lpstr>Validacion_IA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Di Meo</dc:creator>
  <cp:lastModifiedBy>Agustina Di Meo</cp:lastModifiedBy>
  <dcterms:created xsi:type="dcterms:W3CDTF">2026-07-22T19:45:30Z</dcterms:created>
  <dcterms:modified xsi:type="dcterms:W3CDTF">2026-09-14T13:08:21Z</dcterms:modified>
</cp:coreProperties>
</file>